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워싱턴지구촌교회" sheetId="1" r:id="rId5"/>
    <sheet state="visible" name="버지니아지구촌교회" sheetId="2" r:id="rId6"/>
    <sheet state="visible" name="버지니아 질문들" sheetId="3" r:id="rId7"/>
  </sheets>
  <definedNames>
    <definedName hidden="1" localSheetId="0" name="_xlnm._FilterDatabase">'워싱턴지구촌교회'!$A$2:$K$40</definedName>
  </definedNames>
  <calcPr/>
</workbook>
</file>

<file path=xl/sharedStrings.xml><?xml version="1.0" encoding="utf-8"?>
<sst xmlns="http://schemas.openxmlformats.org/spreadsheetml/2006/main" count="403" uniqueCount="253">
  <si>
    <t>샬롬 라틴 아메리카 참석자 명단</t>
  </si>
  <si>
    <t>Team</t>
  </si>
  <si>
    <t>No.</t>
  </si>
  <si>
    <t>이름</t>
  </si>
  <si>
    <t>Gender</t>
  </si>
  <si>
    <t>Given Names</t>
  </si>
  <si>
    <t>Surname</t>
  </si>
  <si>
    <t>Birth of Date</t>
  </si>
  <si>
    <t>Passport</t>
  </si>
  <si>
    <t>Nationality</t>
  </si>
  <si>
    <t>Age</t>
  </si>
  <si>
    <t>Role</t>
  </si>
  <si>
    <t>비고</t>
  </si>
  <si>
    <t>회비</t>
  </si>
  <si>
    <t>강사</t>
  </si>
  <si>
    <t>박승진</t>
  </si>
  <si>
    <t>M</t>
  </si>
  <si>
    <t>PARK</t>
  </si>
  <si>
    <t>SEUNG JIN</t>
  </si>
  <si>
    <t>M220U7690</t>
  </si>
  <si>
    <t>KOR</t>
  </si>
  <si>
    <t>교회</t>
  </si>
  <si>
    <t>진행팀</t>
  </si>
  <si>
    <t>박성현</t>
  </si>
  <si>
    <t>BAK</t>
  </si>
  <si>
    <t>SEONGHYEON</t>
  </si>
  <si>
    <t>M95726247</t>
  </si>
  <si>
    <t>인솔목회자</t>
  </si>
  <si>
    <t>MK</t>
  </si>
  <si>
    <t>Daniel Kim</t>
  </si>
  <si>
    <t>CHO</t>
  </si>
  <si>
    <t>DANIEL MINHO</t>
  </si>
  <si>
    <t>A44217935</t>
  </si>
  <si>
    <t>USA</t>
  </si>
  <si>
    <t>MK팀장</t>
  </si>
  <si>
    <t>Entertainment (Rap)</t>
  </si>
  <si>
    <t>이영진</t>
  </si>
  <si>
    <t>LEE</t>
  </si>
  <si>
    <t>YOUNG JIN</t>
  </si>
  <si>
    <t>전체팀장</t>
  </si>
  <si>
    <t>1100 현금 100체크</t>
  </si>
  <si>
    <t>이미용</t>
  </si>
  <si>
    <t>이경호</t>
  </si>
  <si>
    <t>KYUNG HO</t>
  </si>
  <si>
    <t>A52425355</t>
  </si>
  <si>
    <t>이미용팀장</t>
  </si>
  <si>
    <t>1200 체크 (2300+100)</t>
  </si>
  <si>
    <t>한방</t>
  </si>
  <si>
    <t>조맹숙</t>
  </si>
  <si>
    <t>JO</t>
  </si>
  <si>
    <t>MAENG SUK</t>
  </si>
  <si>
    <t>A82129923</t>
  </si>
  <si>
    <t>1200 체크</t>
  </si>
  <si>
    <t>조철민</t>
  </si>
  <si>
    <t>CHULMIN</t>
  </si>
  <si>
    <t>정하늘</t>
  </si>
  <si>
    <t>JUNG</t>
  </si>
  <si>
    <t>HANUL</t>
  </si>
  <si>
    <t>한방팀장</t>
  </si>
  <si>
    <t>황은경</t>
  </si>
  <si>
    <t>HWANG</t>
  </si>
  <si>
    <t>EUNKYUNG</t>
  </si>
  <si>
    <t>A75824048</t>
  </si>
  <si>
    <t>MK참여</t>
  </si>
  <si>
    <t>정사라</t>
  </si>
  <si>
    <t>SARAH HAEL</t>
  </si>
  <si>
    <t>A33402378</t>
  </si>
  <si>
    <t>카톡에 없음</t>
  </si>
  <si>
    <t>400 체크</t>
  </si>
  <si>
    <t>400체크</t>
  </si>
  <si>
    <t>정레아</t>
  </si>
  <si>
    <t>LEAH JOEL</t>
  </si>
  <si>
    <t>A06211931</t>
  </si>
  <si>
    <t>페이셜</t>
  </si>
  <si>
    <t>김혜경</t>
  </si>
  <si>
    <t>KIM</t>
  </si>
  <si>
    <t>VIVIAN HEKYONG</t>
  </si>
  <si>
    <t>A62986808</t>
  </si>
  <si>
    <t>페이셜팀장</t>
  </si>
  <si>
    <t>이경미</t>
  </si>
  <si>
    <t>EUNICE K</t>
  </si>
  <si>
    <t>A18400547</t>
  </si>
  <si>
    <t>김학숙</t>
  </si>
  <si>
    <t>LARRAIN</t>
  </si>
  <si>
    <t>A21736015</t>
  </si>
  <si>
    <t>김미혜</t>
  </si>
  <si>
    <t>MIHYE</t>
  </si>
  <si>
    <t>A39567183</t>
  </si>
  <si>
    <t>박호선</t>
  </si>
  <si>
    <t>YEOM</t>
  </si>
  <si>
    <t>HO SUN</t>
  </si>
  <si>
    <t>M888J8770</t>
  </si>
  <si>
    <t>Timothy Lee</t>
  </si>
  <si>
    <t>TIMOTHY SEBOK</t>
  </si>
  <si>
    <t>A27070611</t>
  </si>
  <si>
    <t>1000 체크</t>
  </si>
  <si>
    <t>임종수</t>
  </si>
  <si>
    <t>LIM</t>
  </si>
  <si>
    <t>JONGSOO</t>
  </si>
  <si>
    <t>A75395224</t>
  </si>
  <si>
    <t>1200 현금</t>
  </si>
  <si>
    <t>임진숙</t>
  </si>
  <si>
    <t>JIN SUK</t>
  </si>
  <si>
    <t>A75387040</t>
  </si>
  <si>
    <t>Esther Park</t>
  </si>
  <si>
    <t>ESTHER HAYEON</t>
  </si>
  <si>
    <t>A03467098</t>
  </si>
  <si>
    <t>Hospitality Leads</t>
  </si>
  <si>
    <t>Entertainment (Soda Pop, K-pop Performance)</t>
  </si>
  <si>
    <t>David Park</t>
  </si>
  <si>
    <t>DAVID HAJOON</t>
  </si>
  <si>
    <t>A03467099</t>
  </si>
  <si>
    <t>TAI OSUNSAN</t>
  </si>
  <si>
    <t>OSUNSAN</t>
  </si>
  <si>
    <t>TAIWO OLUFEMI</t>
  </si>
  <si>
    <t>A33062578</t>
  </si>
  <si>
    <t>이종선</t>
  </si>
  <si>
    <t>LEE HWANG</t>
  </si>
  <si>
    <t>JONG SEON</t>
  </si>
  <si>
    <t>A38377347</t>
  </si>
  <si>
    <t>이순복</t>
  </si>
  <si>
    <t>SUSIE SOONBOK</t>
  </si>
  <si>
    <t>A12638742</t>
  </si>
  <si>
    <t>1150 체크+50 현금</t>
  </si>
  <si>
    <t>김정화</t>
  </si>
  <si>
    <t>JEONG HWA</t>
  </si>
  <si>
    <t>Liora Lee</t>
  </si>
  <si>
    <t>LIORA JOOHYANG</t>
  </si>
  <si>
    <t>400 체크+400체크</t>
  </si>
  <si>
    <t>박진</t>
  </si>
  <si>
    <t>JIN</t>
  </si>
  <si>
    <t>M367S9832</t>
  </si>
  <si>
    <t>Media Pictures</t>
  </si>
  <si>
    <t>카톡-어머니</t>
  </si>
  <si>
    <t>400 현금</t>
  </si>
  <si>
    <t>정복순</t>
  </si>
  <si>
    <t>PACKARD</t>
  </si>
  <si>
    <t>POK SUN</t>
  </si>
  <si>
    <t>Alex Suh</t>
  </si>
  <si>
    <t>SUH</t>
  </si>
  <si>
    <t>ALEX J</t>
  </si>
  <si>
    <t>A43182724</t>
  </si>
  <si>
    <t>975 체크</t>
  </si>
  <si>
    <t>25 체크</t>
  </si>
  <si>
    <t>Daniel Seo</t>
  </si>
  <si>
    <t>SEO</t>
  </si>
  <si>
    <t>DANIEL J</t>
  </si>
  <si>
    <t>A19799838</t>
  </si>
  <si>
    <t>800 체크</t>
  </si>
  <si>
    <t>송병재</t>
  </si>
  <si>
    <t>SONG</t>
  </si>
  <si>
    <t>BYUNG JAE</t>
  </si>
  <si>
    <t>A67339716</t>
  </si>
  <si>
    <t>JOOHYEON</t>
  </si>
  <si>
    <t>A43190068</t>
  </si>
  <si>
    <t>Danielle Lee</t>
  </si>
  <si>
    <t>DANIELLE EUNZI</t>
  </si>
  <si>
    <t>A05417451</t>
  </si>
  <si>
    <t>Hahnbit Kang</t>
  </si>
  <si>
    <t>KANG</t>
  </si>
  <si>
    <t>HAHNBIT</t>
  </si>
  <si>
    <t>A09843626</t>
  </si>
  <si>
    <t>송인숙</t>
  </si>
  <si>
    <t>IN SUK</t>
  </si>
  <si>
    <t>A67339715</t>
  </si>
  <si>
    <t>영문 이름</t>
  </si>
  <si>
    <t>한글 이름</t>
  </si>
  <si>
    <t>성별</t>
  </si>
  <si>
    <t>나이</t>
  </si>
  <si>
    <t>언어</t>
  </si>
  <si>
    <t>교회 직분/소속</t>
  </si>
  <si>
    <t>현재 섬기는 분야</t>
  </si>
  <si>
    <t>샬롬 집회 봉사 분야</t>
  </si>
  <si>
    <t>MK 이름 (2명 배정 예정 - 총 18명)</t>
  </si>
  <si>
    <t xml:space="preserve">Email </t>
  </si>
  <si>
    <t>Brian Soo-yong Lee</t>
  </si>
  <si>
    <t>이수용</t>
  </si>
  <si>
    <t>남</t>
  </si>
  <si>
    <t>한국어, 영어, 스패니쉬</t>
  </si>
  <si>
    <t>담임목사</t>
  </si>
  <si>
    <t>설교 및 세미나</t>
  </si>
  <si>
    <t>코스타 강사</t>
  </si>
  <si>
    <t>sylee503@gmail.com</t>
  </si>
  <si>
    <t>Andrea Hyun-kyung Lee</t>
  </si>
  <si>
    <t>이현경</t>
  </si>
  <si>
    <t>여</t>
  </si>
  <si>
    <t>담임목사 사모</t>
  </si>
  <si>
    <t>목사님 서포트</t>
  </si>
  <si>
    <t>andrea68_ar@hotmail.com</t>
  </si>
  <si>
    <t>Dennis Cheung</t>
  </si>
  <si>
    <t>정준용</t>
  </si>
  <si>
    <t>한국어, 영어</t>
  </si>
  <si>
    <t>안수집사, 쎌 사역단장</t>
  </si>
  <si>
    <t>재정부, 미디어팀</t>
  </si>
  <si>
    <t>(미정) 목사님 서포트</t>
  </si>
  <si>
    <t>cheungdc@hotmail.com</t>
  </si>
  <si>
    <t>Paul Kim</t>
  </si>
  <si>
    <t>김광섭</t>
  </si>
  <si>
    <t>섬김 사역단장, 예배 사역단</t>
  </si>
  <si>
    <t>재정부, 찬양팀 (베이스)</t>
  </si>
  <si>
    <t>MK 한국어 담당</t>
  </si>
  <si>
    <t>pkim@thesolidconstruction.com</t>
  </si>
  <si>
    <t>Grace Kim</t>
  </si>
  <si>
    <t>김연희</t>
  </si>
  <si>
    <t>섬김 사역단, Kids Quest</t>
  </si>
  <si>
    <t>KQ 교사</t>
  </si>
  <si>
    <t>gracekim620@gmail.com</t>
  </si>
  <si>
    <t>Yunkoo Yo (Jerry)</t>
  </si>
  <si>
    <t>여윤구</t>
  </si>
  <si>
    <t>예배 사역단</t>
  </si>
  <si>
    <t>찬양팀리더 (기타)</t>
  </si>
  <si>
    <t>yoyunkoo@gmail.com</t>
  </si>
  <si>
    <t>Winnie Yo</t>
  </si>
  <si>
    <t>여윤희</t>
  </si>
  <si>
    <t>찬양팀</t>
  </si>
  <si>
    <t>luvwinnie21@gmail.com</t>
  </si>
  <si>
    <t>Rayne Woo</t>
  </si>
  <si>
    <t>N/A</t>
  </si>
  <si>
    <t>영어</t>
  </si>
  <si>
    <t>(초신자)</t>
  </si>
  <si>
    <t>(사역 배정 전에 알려주세요)</t>
  </si>
  <si>
    <t>미정 (사진/동영상 가능성이 큼)</t>
  </si>
  <si>
    <t>raynewoo2012@me.com</t>
  </si>
  <si>
    <t>Kristen Joo</t>
  </si>
  <si>
    <t>주현정</t>
  </si>
  <si>
    <t>babepumpkin@hotmail.com</t>
  </si>
  <si>
    <t>Kyujin Choi</t>
  </si>
  <si>
    <t>최규진</t>
  </si>
  <si>
    <t>훈련 사역단장</t>
  </si>
  <si>
    <t>미디어팀</t>
  </si>
  <si>
    <t>choikyujin@gmail.com</t>
  </si>
  <si>
    <t>Eunkyung An</t>
  </si>
  <si>
    <t>안은경</t>
  </si>
  <si>
    <t>Kids Quest</t>
  </si>
  <si>
    <t>eunkyungan@gmail.com</t>
  </si>
  <si>
    <t>Andres Lee (Andy)</t>
  </si>
  <si>
    <t>이규연</t>
  </si>
  <si>
    <t>Upside</t>
  </si>
  <si>
    <t>Upside 교사, UpsidePlus</t>
  </si>
  <si>
    <t xml:space="preserve">andres.lee6@gmail.com </t>
  </si>
  <si>
    <t>Deborah Kim</t>
  </si>
  <si>
    <t>김진주</t>
  </si>
  <si>
    <t xml:space="preserve">Kids Quest </t>
  </si>
  <si>
    <t>dkim809@gmail.com</t>
  </si>
  <si>
    <t>4/14 미팅 -  원지환 전도사 (한국), 박성현 목사 (워싱턴), 이영진 집사 (워싱턴), 최규진 집사 (버지니아)</t>
  </si>
  <si>
    <t>1. 저희가 이해하기로는 호텔 내 컨퍼런스 공간이 비용 문제로 사용하지 않는 것으로 알고 있습니다. 그렇다면 샬롬 집회를 위해 호텔 밖의 새로운 교회나 컨퍼런스 장소로 이동하는 것이 맞을까요. 이동은 버스를 이용하는 것으로 예상하고 있는데, 이 부분도 확인 부탁드립니다.</t>
  </si>
  <si>
    <t>2. 만약 호텔에서 외부 컨퍼런스 장소로 이동한다면, 아침 식사 후 이동하여 집회가 끝날 때까지 호텔로 돌아오지 못하는 일정이 될 것으로 보입니다. 이 이해가 맞는지요. 또한 컨퍼런스 장소가 이미 결정되었다면 위치를 알려주시면 감사하겠습니다. 휴식시간간 이동? / safety issue?</t>
  </si>
  <si>
    <t>3. 1번의 상황을 전제로 할 때, 식사는 호텔에서 조식만 하고, 점심과 저녁은 샬롬 집회가 진행되는 그 장소에서 해결하는 것으로 이해하고 있습니다. 이 부분도 맞는지 확인 부탁드립니다. (알러지 체크 - 식사 형태)</t>
  </si>
  <si>
    <t>4. 저희 교회가 담당하게 될 MK(한국어권) 18명의 리스트를 공유해주시면 감사하겠습니다. 벌써부터 각 아이들을 위해 기도하고 싶어하시는 분들이 많아 열정이 대단합니다.</t>
  </si>
  <si>
    <t>5. Canva로 보내주신 MK 리스트를 보니, 아이들이 갖고 싶은 물품이 함께 적혀 있던데, 이것은 어떤 용도인지 궁금합니다. 저희가 준비하거나 구매해야 하는 항목인지 안내 부탁드립니다.</t>
  </si>
  <si>
    <t>6. 교회별 performance를 준비한다고 들었습니다. 저희는 10분 정도를 예상하고 있는데 괜찮습니까? 공연은 첫날 (환영의 밤)에 이루어지나요?</t>
  </si>
  <si>
    <t>7. 과테말라 도착 후, 공항에서 호텔로 이동하는 방법은 무엇인가요? (35명 [와싱턴]+13명[버지니아] = 48명[총])</t>
  </si>
  <si>
    <t>8. 안티구아 방문시 선교사님 가정, 그리고 모든 지구촌 성도가 함께 움직이나요? (약 200명)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</si>
</sst>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7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color theme="1"/>
      <name val="Arial"/>
    </font>
    <font>
      <u/>
      <color rgb="FF1155CC"/>
      <name val="Arial"/>
    </font>
    <font>
      <b/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1" fillId="4" fontId="3" numFmtId="0" xfId="0" applyAlignment="1" applyBorder="1" applyFill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1" fillId="5" fontId="4" numFmtId="0" xfId="0" applyAlignment="1" applyBorder="1" applyFill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5" numFmtId="0" xfId="0" applyAlignment="1" applyBorder="1" applyFont="1">
      <alignment vertical="bottom"/>
    </xf>
    <xf borderId="1" fillId="6" fontId="4" numFmtId="0" xfId="0" applyAlignment="1" applyBorder="1" applyFill="1" applyFont="1">
      <alignment vertical="bottom"/>
    </xf>
    <xf borderId="1" fillId="0" fontId="4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cheungdc@hotmail.com" TargetMode="External"/><Relationship Id="rId2" Type="http://schemas.openxmlformats.org/officeDocument/2006/relationships/hyperlink" Target="mailto:yoyunkoo@gmail.com" TargetMode="External"/><Relationship Id="rId3" Type="http://schemas.openxmlformats.org/officeDocument/2006/relationships/hyperlink" Target="mailto:luvwinnie21@gmail.com" TargetMode="External"/><Relationship Id="rId4" Type="http://schemas.openxmlformats.org/officeDocument/2006/relationships/hyperlink" Target="mailto:raynewoo2012@me.com" TargetMode="External"/><Relationship Id="rId5" Type="http://schemas.openxmlformats.org/officeDocument/2006/relationships/hyperlink" Target="mailto:dkim809@gmail.com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6.13"/>
    <col customWidth="1" min="3" max="3" width="14.38"/>
    <col customWidth="1" min="4" max="4" width="8.38"/>
    <col customWidth="1" min="5" max="5" width="14.0"/>
    <col customWidth="1" min="6" max="6" width="15.75"/>
    <col customWidth="1" min="7" max="7" width="13.5"/>
    <col customWidth="1" min="8" max="8" width="10.63"/>
    <col customWidth="1" min="9" max="10" width="6.63"/>
    <col customWidth="1" min="11" max="11" width="16.0"/>
    <col customWidth="1" min="12" max="12" width="10.13"/>
    <col customWidth="1" min="13" max="13" width="17.13"/>
  </cols>
  <sheetData>
    <row r="1" ht="31.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>
      <c r="A3" s="3" t="s">
        <v>14</v>
      </c>
      <c r="B3" s="3">
        <v>1.0</v>
      </c>
      <c r="C3" s="3" t="s">
        <v>15</v>
      </c>
      <c r="D3" s="3" t="s">
        <v>16</v>
      </c>
      <c r="E3" s="3" t="s">
        <v>17</v>
      </c>
      <c r="F3" s="3" t="s">
        <v>18</v>
      </c>
      <c r="G3" s="4">
        <v>28114.0</v>
      </c>
      <c r="H3" s="3" t="s">
        <v>19</v>
      </c>
      <c r="I3" s="3" t="s">
        <v>20</v>
      </c>
      <c r="J3" s="3">
        <f t="shared" ref="J3:J37" si="1">DATEDIF(G3, TODAY(), "Y")</f>
        <v>49</v>
      </c>
      <c r="K3" s="3" t="s">
        <v>14</v>
      </c>
      <c r="M3" s="3" t="s">
        <v>21</v>
      </c>
    </row>
    <row r="4">
      <c r="A4" s="3" t="s">
        <v>22</v>
      </c>
      <c r="B4" s="3">
        <v>2.0</v>
      </c>
      <c r="C4" s="3" t="s">
        <v>23</v>
      </c>
      <c r="D4" s="3" t="s">
        <v>16</v>
      </c>
      <c r="E4" s="3" t="s">
        <v>24</v>
      </c>
      <c r="F4" s="3" t="s">
        <v>25</v>
      </c>
      <c r="G4" s="5">
        <v>31622.0</v>
      </c>
      <c r="H4" s="3" t="s">
        <v>26</v>
      </c>
      <c r="I4" s="3" t="s">
        <v>20</v>
      </c>
      <c r="J4" s="3">
        <f t="shared" si="1"/>
        <v>39</v>
      </c>
      <c r="K4" s="3" t="s">
        <v>27</v>
      </c>
      <c r="M4" s="3" t="s">
        <v>21</v>
      </c>
    </row>
    <row r="5">
      <c r="A5" s="3" t="s">
        <v>28</v>
      </c>
      <c r="B5" s="3">
        <v>3.0</v>
      </c>
      <c r="C5" s="3" t="s">
        <v>29</v>
      </c>
      <c r="D5" s="3" t="s">
        <v>16</v>
      </c>
      <c r="E5" s="3" t="s">
        <v>30</v>
      </c>
      <c r="F5" s="3" t="s">
        <v>31</v>
      </c>
      <c r="G5" s="5">
        <v>31454.0</v>
      </c>
      <c r="H5" s="3" t="s">
        <v>32</v>
      </c>
      <c r="I5" s="3" t="s">
        <v>33</v>
      </c>
      <c r="J5" s="3">
        <f t="shared" si="1"/>
        <v>40</v>
      </c>
      <c r="K5" s="3" t="s">
        <v>34</v>
      </c>
      <c r="L5" s="3" t="s">
        <v>35</v>
      </c>
      <c r="M5" s="3" t="s">
        <v>21</v>
      </c>
    </row>
    <row r="6">
      <c r="A6" s="3" t="s">
        <v>22</v>
      </c>
      <c r="B6" s="3">
        <v>4.0</v>
      </c>
      <c r="C6" s="3" t="s">
        <v>36</v>
      </c>
      <c r="D6" s="3" t="s">
        <v>16</v>
      </c>
      <c r="E6" s="3" t="s">
        <v>37</v>
      </c>
      <c r="F6" s="3" t="s">
        <v>38</v>
      </c>
      <c r="G6" s="5">
        <v>29269.0</v>
      </c>
      <c r="H6" s="3">
        <v>5.85350833E8</v>
      </c>
      <c r="I6" s="3" t="s">
        <v>33</v>
      </c>
      <c r="J6" s="3">
        <f t="shared" si="1"/>
        <v>46</v>
      </c>
      <c r="K6" s="3" t="s">
        <v>39</v>
      </c>
      <c r="M6" s="6" t="s">
        <v>40</v>
      </c>
    </row>
    <row r="7">
      <c r="A7" s="3" t="s">
        <v>41</v>
      </c>
      <c r="B7" s="3">
        <v>5.0</v>
      </c>
      <c r="C7" s="3" t="s">
        <v>42</v>
      </c>
      <c r="D7" s="3"/>
      <c r="E7" s="3" t="s">
        <v>37</v>
      </c>
      <c r="F7" s="3" t="s">
        <v>43</v>
      </c>
      <c r="G7" s="5">
        <v>20217.0</v>
      </c>
      <c r="H7" s="3" t="s">
        <v>44</v>
      </c>
      <c r="I7" s="3" t="s">
        <v>33</v>
      </c>
      <c r="J7" s="3">
        <f t="shared" si="1"/>
        <v>71</v>
      </c>
      <c r="K7" s="3" t="s">
        <v>45</v>
      </c>
      <c r="M7" s="6" t="s">
        <v>46</v>
      </c>
    </row>
    <row r="8">
      <c r="A8" s="3" t="s">
        <v>47</v>
      </c>
      <c r="B8" s="3">
        <v>6.0</v>
      </c>
      <c r="C8" s="3" t="s">
        <v>48</v>
      </c>
      <c r="D8" s="3"/>
      <c r="E8" s="3" t="s">
        <v>49</v>
      </c>
      <c r="F8" s="3" t="s">
        <v>50</v>
      </c>
      <c r="G8" s="4">
        <v>24817.0</v>
      </c>
      <c r="H8" s="3" t="s">
        <v>51</v>
      </c>
      <c r="I8" s="3" t="s">
        <v>33</v>
      </c>
      <c r="J8" s="3">
        <f t="shared" si="1"/>
        <v>58</v>
      </c>
      <c r="M8" s="6" t="s">
        <v>52</v>
      </c>
    </row>
    <row r="9">
      <c r="A9" s="3" t="s">
        <v>47</v>
      </c>
      <c r="B9" s="3">
        <v>7.0</v>
      </c>
      <c r="C9" s="3" t="s">
        <v>53</v>
      </c>
      <c r="D9" s="3"/>
      <c r="E9" s="3" t="s">
        <v>49</v>
      </c>
      <c r="F9" s="3" t="s">
        <v>54</v>
      </c>
      <c r="G9" s="5">
        <v>24489.0</v>
      </c>
      <c r="H9" s="3">
        <v>6.73236925E8</v>
      </c>
      <c r="I9" s="3" t="s">
        <v>33</v>
      </c>
      <c r="J9" s="3">
        <f t="shared" si="1"/>
        <v>59</v>
      </c>
      <c r="M9" s="6" t="s">
        <v>52</v>
      </c>
    </row>
    <row r="10">
      <c r="A10" s="3" t="s">
        <v>47</v>
      </c>
      <c r="B10" s="3">
        <v>8.0</v>
      </c>
      <c r="C10" s="3" t="s">
        <v>55</v>
      </c>
      <c r="D10" s="3"/>
      <c r="E10" s="3" t="s">
        <v>56</v>
      </c>
      <c r="F10" s="3" t="s">
        <v>57</v>
      </c>
      <c r="G10" s="5">
        <v>29757.0</v>
      </c>
      <c r="H10" s="3">
        <v>6.53567323E8</v>
      </c>
      <c r="I10" s="3" t="s">
        <v>33</v>
      </c>
      <c r="J10" s="3">
        <f t="shared" si="1"/>
        <v>45</v>
      </c>
      <c r="K10" s="3" t="s">
        <v>58</v>
      </c>
      <c r="M10" s="6" t="s">
        <v>52</v>
      </c>
    </row>
    <row r="11">
      <c r="A11" s="3" t="s">
        <v>47</v>
      </c>
      <c r="B11" s="3">
        <v>9.0</v>
      </c>
      <c r="C11" s="3" t="s">
        <v>59</v>
      </c>
      <c r="D11" s="3"/>
      <c r="E11" s="3" t="s">
        <v>60</v>
      </c>
      <c r="F11" s="3" t="s">
        <v>61</v>
      </c>
      <c r="G11" s="4">
        <v>28851.0</v>
      </c>
      <c r="H11" s="3" t="s">
        <v>62</v>
      </c>
      <c r="I11" s="3" t="s">
        <v>33</v>
      </c>
      <c r="J11" s="3">
        <f t="shared" si="1"/>
        <v>47</v>
      </c>
      <c r="M11" s="6" t="s">
        <v>52</v>
      </c>
    </row>
    <row r="12">
      <c r="A12" s="3" t="s">
        <v>63</v>
      </c>
      <c r="B12" s="3">
        <v>10.0</v>
      </c>
      <c r="C12" s="3" t="s">
        <v>64</v>
      </c>
      <c r="D12" s="3"/>
      <c r="E12" s="3" t="s">
        <v>56</v>
      </c>
      <c r="F12" s="3" t="s">
        <v>65</v>
      </c>
      <c r="G12" s="5">
        <v>42939.0</v>
      </c>
      <c r="H12" s="3" t="s">
        <v>66</v>
      </c>
      <c r="I12" s="3" t="s">
        <v>33</v>
      </c>
      <c r="J12" s="3">
        <f t="shared" si="1"/>
        <v>8</v>
      </c>
      <c r="L12" s="3" t="s">
        <v>67</v>
      </c>
      <c r="M12" s="6" t="s">
        <v>68</v>
      </c>
      <c r="N12" s="3" t="s">
        <v>69</v>
      </c>
    </row>
    <row r="13">
      <c r="A13" s="3" t="s">
        <v>63</v>
      </c>
      <c r="B13" s="3">
        <v>11.0</v>
      </c>
      <c r="C13" s="3" t="s">
        <v>70</v>
      </c>
      <c r="D13" s="3"/>
      <c r="E13" s="3" t="s">
        <v>56</v>
      </c>
      <c r="F13" s="3" t="s">
        <v>71</v>
      </c>
      <c r="G13" s="5">
        <v>43973.0</v>
      </c>
      <c r="H13" s="3" t="s">
        <v>72</v>
      </c>
      <c r="I13" s="3" t="s">
        <v>33</v>
      </c>
      <c r="J13" s="3">
        <f t="shared" si="1"/>
        <v>6</v>
      </c>
      <c r="L13" s="3" t="s">
        <v>67</v>
      </c>
      <c r="M13" s="6" t="s">
        <v>68</v>
      </c>
      <c r="N13" s="3" t="s">
        <v>69</v>
      </c>
    </row>
    <row r="14">
      <c r="A14" s="3" t="s">
        <v>73</v>
      </c>
      <c r="B14" s="3">
        <v>12.0</v>
      </c>
      <c r="C14" s="3" t="s">
        <v>74</v>
      </c>
      <c r="D14" s="3"/>
      <c r="E14" s="3" t="s">
        <v>75</v>
      </c>
      <c r="F14" s="3" t="s">
        <v>76</v>
      </c>
      <c r="G14" s="4">
        <v>23726.0</v>
      </c>
      <c r="H14" s="3" t="s">
        <v>77</v>
      </c>
      <c r="I14" s="3" t="s">
        <v>33</v>
      </c>
      <c r="J14" s="3">
        <f t="shared" si="1"/>
        <v>61</v>
      </c>
      <c r="K14" s="3" t="s">
        <v>78</v>
      </c>
      <c r="M14" s="6" t="s">
        <v>52</v>
      </c>
    </row>
    <row r="15">
      <c r="A15" s="3" t="s">
        <v>41</v>
      </c>
      <c r="B15" s="3">
        <v>13.0</v>
      </c>
      <c r="C15" s="3" t="s">
        <v>79</v>
      </c>
      <c r="D15" s="3"/>
      <c r="E15" s="3" t="s">
        <v>37</v>
      </c>
      <c r="F15" s="3" t="s">
        <v>80</v>
      </c>
      <c r="G15" s="5">
        <v>23784.0</v>
      </c>
      <c r="H15" s="3" t="s">
        <v>81</v>
      </c>
      <c r="I15" s="3" t="s">
        <v>33</v>
      </c>
      <c r="J15" s="3">
        <f t="shared" si="1"/>
        <v>61</v>
      </c>
      <c r="M15" s="6" t="s">
        <v>52</v>
      </c>
      <c r="N15" s="7"/>
    </row>
    <row r="16">
      <c r="A16" s="3" t="s">
        <v>47</v>
      </c>
      <c r="B16" s="3">
        <v>14.0</v>
      </c>
      <c r="C16" s="3" t="s">
        <v>82</v>
      </c>
      <c r="D16" s="3"/>
      <c r="E16" s="3" t="s">
        <v>75</v>
      </c>
      <c r="F16" s="3" t="s">
        <v>83</v>
      </c>
      <c r="G16" s="5">
        <v>14686.0</v>
      </c>
      <c r="H16" s="3" t="s">
        <v>84</v>
      </c>
      <c r="I16" s="3" t="s">
        <v>33</v>
      </c>
      <c r="J16" s="3">
        <f t="shared" si="1"/>
        <v>86</v>
      </c>
      <c r="M16" s="6" t="s">
        <v>52</v>
      </c>
      <c r="N16" s="8"/>
    </row>
    <row r="17">
      <c r="A17" s="3" t="s">
        <v>73</v>
      </c>
      <c r="B17" s="3">
        <v>15.0</v>
      </c>
      <c r="C17" s="3" t="s">
        <v>85</v>
      </c>
      <c r="D17" s="3"/>
      <c r="E17" s="3" t="s">
        <v>75</v>
      </c>
      <c r="F17" s="3" t="s">
        <v>86</v>
      </c>
      <c r="G17" s="5">
        <v>22988.0</v>
      </c>
      <c r="H17" s="3" t="s">
        <v>87</v>
      </c>
      <c r="I17" s="3" t="s">
        <v>33</v>
      </c>
      <c r="J17" s="3">
        <f t="shared" si="1"/>
        <v>63</v>
      </c>
      <c r="M17" s="6" t="s">
        <v>52</v>
      </c>
      <c r="N17" s="8"/>
    </row>
    <row r="18">
      <c r="A18" s="3" t="s">
        <v>73</v>
      </c>
      <c r="B18" s="3">
        <v>16.0</v>
      </c>
      <c r="C18" s="3" t="s">
        <v>88</v>
      </c>
      <c r="D18" s="3"/>
      <c r="E18" s="3" t="s">
        <v>89</v>
      </c>
      <c r="F18" s="3" t="s">
        <v>90</v>
      </c>
      <c r="G18" s="5">
        <v>28695.0</v>
      </c>
      <c r="H18" s="3" t="s">
        <v>91</v>
      </c>
      <c r="I18" s="3" t="s">
        <v>20</v>
      </c>
      <c r="J18" s="3">
        <f t="shared" si="1"/>
        <v>47</v>
      </c>
      <c r="M18" s="6" t="s">
        <v>52</v>
      </c>
      <c r="N18" s="8"/>
    </row>
    <row r="19">
      <c r="A19" s="3" t="s">
        <v>28</v>
      </c>
      <c r="B19" s="3">
        <v>17.0</v>
      </c>
      <c r="C19" s="3" t="s">
        <v>92</v>
      </c>
      <c r="D19" s="3"/>
      <c r="E19" s="3" t="s">
        <v>37</v>
      </c>
      <c r="F19" s="3" t="s">
        <v>93</v>
      </c>
      <c r="G19" s="5">
        <v>37894.0</v>
      </c>
      <c r="H19" s="3" t="s">
        <v>94</v>
      </c>
      <c r="I19" s="3" t="s">
        <v>33</v>
      </c>
      <c r="J19" s="3">
        <f t="shared" si="1"/>
        <v>22</v>
      </c>
      <c r="M19" s="6" t="s">
        <v>95</v>
      </c>
      <c r="N19" s="7"/>
    </row>
    <row r="20">
      <c r="A20" s="3" t="s">
        <v>41</v>
      </c>
      <c r="B20" s="3">
        <v>18.0</v>
      </c>
      <c r="C20" s="3" t="s">
        <v>96</v>
      </c>
      <c r="D20" s="3"/>
      <c r="E20" s="3" t="s">
        <v>97</v>
      </c>
      <c r="F20" s="3" t="s">
        <v>98</v>
      </c>
      <c r="G20" s="5">
        <v>23758.0</v>
      </c>
      <c r="H20" s="3" t="s">
        <v>99</v>
      </c>
      <c r="I20" s="3" t="s">
        <v>33</v>
      </c>
      <c r="J20" s="3">
        <f t="shared" si="1"/>
        <v>61</v>
      </c>
      <c r="M20" s="6" t="s">
        <v>100</v>
      </c>
    </row>
    <row r="21">
      <c r="A21" s="3" t="s">
        <v>41</v>
      </c>
      <c r="B21" s="3">
        <v>19.0</v>
      </c>
      <c r="C21" s="3" t="s">
        <v>101</v>
      </c>
      <c r="D21" s="3"/>
      <c r="E21" s="3" t="s">
        <v>97</v>
      </c>
      <c r="F21" s="3" t="s">
        <v>102</v>
      </c>
      <c r="G21" s="5">
        <v>24185.0</v>
      </c>
      <c r="H21" s="3" t="s">
        <v>103</v>
      </c>
      <c r="I21" s="3" t="s">
        <v>33</v>
      </c>
      <c r="J21" s="3">
        <f t="shared" si="1"/>
        <v>60</v>
      </c>
      <c r="M21" s="6" t="s">
        <v>100</v>
      </c>
    </row>
    <row r="22">
      <c r="A22" s="3" t="s">
        <v>28</v>
      </c>
      <c r="B22" s="3">
        <v>20.0</v>
      </c>
      <c r="C22" s="3" t="s">
        <v>104</v>
      </c>
      <c r="D22" s="3"/>
      <c r="E22" s="3" t="s">
        <v>17</v>
      </c>
      <c r="F22" s="3" t="s">
        <v>105</v>
      </c>
      <c r="G22" s="5">
        <v>39261.0</v>
      </c>
      <c r="H22" s="3" t="s">
        <v>106</v>
      </c>
      <c r="I22" s="3" t="s">
        <v>33</v>
      </c>
      <c r="J22" s="3">
        <f t="shared" si="1"/>
        <v>18</v>
      </c>
      <c r="K22" s="3" t="s">
        <v>107</v>
      </c>
      <c r="L22" s="3" t="s">
        <v>108</v>
      </c>
      <c r="M22" s="6" t="s">
        <v>68</v>
      </c>
      <c r="N22" s="6" t="s">
        <v>69</v>
      </c>
      <c r="O22" s="3">
        <v>200.0</v>
      </c>
    </row>
    <row r="23">
      <c r="A23" s="3" t="s">
        <v>28</v>
      </c>
      <c r="B23" s="3">
        <v>21.0</v>
      </c>
      <c r="C23" s="3" t="s">
        <v>109</v>
      </c>
      <c r="D23" s="3"/>
      <c r="E23" s="3" t="s">
        <v>17</v>
      </c>
      <c r="F23" s="3" t="s">
        <v>110</v>
      </c>
      <c r="G23" s="4">
        <v>40476.0</v>
      </c>
      <c r="H23" s="3" t="s">
        <v>111</v>
      </c>
      <c r="I23" s="3" t="s">
        <v>33</v>
      </c>
      <c r="J23" s="3">
        <f t="shared" si="1"/>
        <v>15</v>
      </c>
      <c r="K23" s="3" t="s">
        <v>107</v>
      </c>
      <c r="M23" s="6" t="s">
        <v>68</v>
      </c>
      <c r="N23" s="6" t="s">
        <v>68</v>
      </c>
      <c r="O23" s="3">
        <v>200.0</v>
      </c>
    </row>
    <row r="24">
      <c r="A24" s="3" t="s">
        <v>28</v>
      </c>
      <c r="B24" s="3">
        <v>22.0</v>
      </c>
      <c r="C24" s="3" t="s">
        <v>112</v>
      </c>
      <c r="D24" s="3"/>
      <c r="E24" s="3" t="s">
        <v>113</v>
      </c>
      <c r="F24" s="3" t="s">
        <v>114</v>
      </c>
      <c r="G24" s="5">
        <v>31217.0</v>
      </c>
      <c r="H24" s="3" t="s">
        <v>115</v>
      </c>
      <c r="I24" s="3" t="s">
        <v>33</v>
      </c>
      <c r="J24" s="3">
        <f t="shared" si="1"/>
        <v>41</v>
      </c>
      <c r="M24" s="6" t="s">
        <v>52</v>
      </c>
    </row>
    <row r="25">
      <c r="A25" s="3" t="s">
        <v>47</v>
      </c>
      <c r="B25" s="3">
        <v>23.0</v>
      </c>
      <c r="C25" s="3" t="s">
        <v>116</v>
      </c>
      <c r="D25" s="3"/>
      <c r="E25" s="3" t="s">
        <v>117</v>
      </c>
      <c r="F25" s="3" t="s">
        <v>118</v>
      </c>
      <c r="G25" s="5">
        <v>21575.0</v>
      </c>
      <c r="H25" s="3" t="s">
        <v>119</v>
      </c>
      <c r="I25" s="3" t="s">
        <v>33</v>
      </c>
      <c r="J25" s="3">
        <f t="shared" si="1"/>
        <v>67</v>
      </c>
      <c r="M25" s="6" t="s">
        <v>46</v>
      </c>
    </row>
    <row r="26">
      <c r="A26" s="3" t="s">
        <v>73</v>
      </c>
      <c r="B26" s="3">
        <v>24.0</v>
      </c>
      <c r="C26" s="3" t="s">
        <v>120</v>
      </c>
      <c r="D26" s="3"/>
      <c r="E26" s="3" t="s">
        <v>37</v>
      </c>
      <c r="F26" s="3" t="s">
        <v>121</v>
      </c>
      <c r="G26" s="5">
        <v>17638.0</v>
      </c>
      <c r="H26" s="3" t="s">
        <v>122</v>
      </c>
      <c r="I26" s="3" t="s">
        <v>33</v>
      </c>
      <c r="J26" s="3">
        <f t="shared" si="1"/>
        <v>78</v>
      </c>
      <c r="M26" s="6" t="s">
        <v>123</v>
      </c>
    </row>
    <row r="27">
      <c r="A27" s="3" t="s">
        <v>41</v>
      </c>
      <c r="B27" s="3">
        <v>25.0</v>
      </c>
      <c r="C27" s="3" t="s">
        <v>124</v>
      </c>
      <c r="D27" s="3"/>
      <c r="E27" s="3" t="s">
        <v>75</v>
      </c>
      <c r="F27" s="3" t="s">
        <v>125</v>
      </c>
      <c r="G27" s="5">
        <v>22293.0</v>
      </c>
      <c r="H27" s="3">
        <v>6.77500756E8</v>
      </c>
      <c r="I27" s="3" t="s">
        <v>33</v>
      </c>
      <c r="J27" s="3">
        <f t="shared" si="1"/>
        <v>65</v>
      </c>
      <c r="M27" s="6" t="s">
        <v>52</v>
      </c>
    </row>
    <row r="28">
      <c r="A28" s="3" t="s">
        <v>28</v>
      </c>
      <c r="B28" s="3">
        <v>26.0</v>
      </c>
      <c r="C28" s="3" t="s">
        <v>126</v>
      </c>
      <c r="D28" s="3"/>
      <c r="E28" s="3" t="s">
        <v>37</v>
      </c>
      <c r="F28" s="3" t="s">
        <v>127</v>
      </c>
      <c r="G28" s="5">
        <v>40376.0</v>
      </c>
      <c r="H28" s="3">
        <v>6.81983849E8</v>
      </c>
      <c r="I28" s="3" t="s">
        <v>33</v>
      </c>
      <c r="J28" s="3">
        <f t="shared" si="1"/>
        <v>15</v>
      </c>
      <c r="M28" s="6" t="s">
        <v>128</v>
      </c>
      <c r="N28" s="3">
        <v>200.0</v>
      </c>
    </row>
    <row r="29">
      <c r="A29" s="3" t="s">
        <v>28</v>
      </c>
      <c r="B29" s="3">
        <v>27.0</v>
      </c>
      <c r="C29" s="3" t="s">
        <v>129</v>
      </c>
      <c r="D29" s="3"/>
      <c r="E29" s="3" t="s">
        <v>24</v>
      </c>
      <c r="F29" s="3" t="s">
        <v>130</v>
      </c>
      <c r="G29" s="5">
        <v>41396.0</v>
      </c>
      <c r="H29" s="3" t="s">
        <v>131</v>
      </c>
      <c r="I29" s="3" t="s">
        <v>20</v>
      </c>
      <c r="J29" s="3">
        <f t="shared" si="1"/>
        <v>13</v>
      </c>
      <c r="K29" s="3" t="s">
        <v>132</v>
      </c>
      <c r="L29" s="3" t="s">
        <v>133</v>
      </c>
      <c r="M29" s="6" t="s">
        <v>134</v>
      </c>
      <c r="N29" s="3">
        <v>600.0</v>
      </c>
    </row>
    <row r="30">
      <c r="A30" s="3" t="s">
        <v>41</v>
      </c>
      <c r="B30" s="3">
        <v>28.0</v>
      </c>
      <c r="C30" s="3" t="s">
        <v>135</v>
      </c>
      <c r="D30" s="3"/>
      <c r="E30" s="3" t="s">
        <v>136</v>
      </c>
      <c r="F30" s="3" t="s">
        <v>137</v>
      </c>
      <c r="G30" s="5">
        <v>21810.0</v>
      </c>
      <c r="H30" s="3">
        <v>5.73442277E8</v>
      </c>
      <c r="I30" s="3" t="s">
        <v>33</v>
      </c>
      <c r="J30" s="3">
        <f t="shared" si="1"/>
        <v>66</v>
      </c>
      <c r="M30" s="6" t="s">
        <v>52</v>
      </c>
    </row>
    <row r="31">
      <c r="A31" s="3" t="s">
        <v>28</v>
      </c>
      <c r="B31" s="3">
        <v>29.0</v>
      </c>
      <c r="C31" s="3" t="s">
        <v>138</v>
      </c>
      <c r="D31" s="3"/>
      <c r="E31" s="3" t="s">
        <v>139</v>
      </c>
      <c r="F31" s="3" t="s">
        <v>140</v>
      </c>
      <c r="G31" s="5">
        <v>39531.0</v>
      </c>
      <c r="H31" s="3" t="s">
        <v>141</v>
      </c>
      <c r="I31" s="3" t="s">
        <v>33</v>
      </c>
      <c r="J31" s="3">
        <f t="shared" si="1"/>
        <v>18</v>
      </c>
      <c r="M31" s="6" t="s">
        <v>142</v>
      </c>
      <c r="N31" s="6" t="s">
        <v>143</v>
      </c>
    </row>
    <row r="32">
      <c r="A32" s="3" t="s">
        <v>28</v>
      </c>
      <c r="B32" s="3">
        <v>30.0</v>
      </c>
      <c r="C32" s="3" t="s">
        <v>144</v>
      </c>
      <c r="D32" s="3"/>
      <c r="E32" s="3" t="s">
        <v>145</v>
      </c>
      <c r="F32" s="3" t="s">
        <v>146</v>
      </c>
      <c r="G32" s="5">
        <v>39584.0</v>
      </c>
      <c r="H32" s="3" t="s">
        <v>147</v>
      </c>
      <c r="I32" s="3" t="s">
        <v>33</v>
      </c>
      <c r="J32" s="3">
        <f t="shared" si="1"/>
        <v>18</v>
      </c>
      <c r="M32" s="6" t="s">
        <v>148</v>
      </c>
      <c r="N32" s="3">
        <v>200.0</v>
      </c>
    </row>
    <row r="33">
      <c r="A33" s="3" t="s">
        <v>47</v>
      </c>
      <c r="B33" s="3">
        <v>31.0</v>
      </c>
      <c r="C33" s="3" t="s">
        <v>149</v>
      </c>
      <c r="D33" s="3"/>
      <c r="E33" s="3" t="s">
        <v>150</v>
      </c>
      <c r="F33" s="3" t="s">
        <v>151</v>
      </c>
      <c r="G33" s="5">
        <v>19887.0</v>
      </c>
      <c r="H33" s="3" t="s">
        <v>152</v>
      </c>
      <c r="I33" s="3" t="s">
        <v>33</v>
      </c>
      <c r="J33" s="3">
        <f t="shared" si="1"/>
        <v>72</v>
      </c>
      <c r="M33" s="6" t="s">
        <v>52</v>
      </c>
    </row>
    <row r="34">
      <c r="A34" s="3" t="s">
        <v>28</v>
      </c>
      <c r="B34" s="3">
        <v>32.0</v>
      </c>
      <c r="C34" s="3" t="s">
        <v>29</v>
      </c>
      <c r="D34" s="3"/>
      <c r="E34" s="3" t="s">
        <v>75</v>
      </c>
      <c r="F34" s="3" t="s">
        <v>153</v>
      </c>
      <c r="G34" s="5">
        <v>40207.0</v>
      </c>
      <c r="H34" s="3" t="s">
        <v>154</v>
      </c>
      <c r="I34" s="3" t="s">
        <v>33</v>
      </c>
      <c r="J34" s="3">
        <f t="shared" si="1"/>
        <v>16</v>
      </c>
      <c r="M34" s="6" t="s">
        <v>148</v>
      </c>
      <c r="N34" s="3">
        <v>200.0</v>
      </c>
    </row>
    <row r="35">
      <c r="A35" s="3" t="s">
        <v>28</v>
      </c>
      <c r="B35" s="3">
        <v>33.0</v>
      </c>
      <c r="C35" s="3" t="s">
        <v>155</v>
      </c>
      <c r="D35" s="3"/>
      <c r="E35" s="3" t="s">
        <v>37</v>
      </c>
      <c r="F35" s="3" t="s">
        <v>156</v>
      </c>
      <c r="G35" s="4">
        <v>37935.0</v>
      </c>
      <c r="H35" s="3" t="s">
        <v>157</v>
      </c>
      <c r="I35" s="3" t="s">
        <v>33</v>
      </c>
      <c r="J35" s="3">
        <f t="shared" si="1"/>
        <v>22</v>
      </c>
      <c r="M35" s="6" t="s">
        <v>68</v>
      </c>
      <c r="N35" s="6" t="s">
        <v>69</v>
      </c>
      <c r="O35" s="3">
        <v>200.0</v>
      </c>
    </row>
    <row r="36">
      <c r="A36" s="3" t="s">
        <v>28</v>
      </c>
      <c r="B36" s="3">
        <v>34.0</v>
      </c>
      <c r="C36" s="3" t="s">
        <v>158</v>
      </c>
      <c r="D36" s="3"/>
      <c r="E36" s="3" t="s">
        <v>159</v>
      </c>
      <c r="F36" s="3" t="s">
        <v>160</v>
      </c>
      <c r="G36" s="5">
        <v>38142.0</v>
      </c>
      <c r="H36" s="3" t="s">
        <v>161</v>
      </c>
      <c r="I36" s="3" t="s">
        <v>33</v>
      </c>
      <c r="J36" s="3">
        <f t="shared" si="1"/>
        <v>22</v>
      </c>
      <c r="M36" s="6" t="s">
        <v>68</v>
      </c>
      <c r="N36" s="6" t="s">
        <v>69</v>
      </c>
      <c r="O36" s="3">
        <v>200.0</v>
      </c>
    </row>
    <row r="37">
      <c r="A37" s="3" t="s">
        <v>47</v>
      </c>
      <c r="B37" s="3">
        <v>35.0</v>
      </c>
      <c r="C37" s="3" t="s">
        <v>162</v>
      </c>
      <c r="D37" s="3"/>
      <c r="E37" s="3" t="s">
        <v>150</v>
      </c>
      <c r="F37" s="3" t="s">
        <v>163</v>
      </c>
      <c r="G37" s="5">
        <v>21464.0</v>
      </c>
      <c r="H37" s="3" t="s">
        <v>164</v>
      </c>
      <c r="I37" s="3" t="s">
        <v>33</v>
      </c>
      <c r="J37" s="3">
        <f t="shared" si="1"/>
        <v>67</v>
      </c>
      <c r="M37" s="6" t="s">
        <v>52</v>
      </c>
    </row>
    <row r="38">
      <c r="G38" s="5"/>
    </row>
    <row r="39">
      <c r="A39" s="3"/>
      <c r="B39" s="3"/>
      <c r="C39" s="3"/>
      <c r="D39" s="3"/>
      <c r="E39" s="3"/>
      <c r="F39" s="3"/>
      <c r="G39" s="5"/>
      <c r="H39" s="3"/>
      <c r="I39" s="3"/>
    </row>
    <row r="40">
      <c r="G40" s="5"/>
    </row>
  </sheetData>
  <autoFilter ref="$A$2:$K$40">
    <sortState ref="A2:K40">
      <sortCondition ref="B2:B40"/>
      <sortCondition ref="A2:A40"/>
      <sortCondition ref="J2:J40"/>
      <sortCondition ref="I2:I40"/>
      <sortCondition ref="C2:C40"/>
    </sortState>
  </autoFilter>
  <mergeCells count="1">
    <mergeCell ref="A1:K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9.75"/>
    <col customWidth="1" min="3" max="4" width="5.0"/>
    <col customWidth="1" min="5" max="5" width="15.88"/>
    <col customWidth="1" min="6" max="6" width="18.75"/>
    <col customWidth="1" min="7" max="7" width="19.38"/>
    <col customWidth="1" min="8" max="8" width="21.25"/>
    <col customWidth="1" min="9" max="9" width="33.5"/>
    <col customWidth="1" min="10" max="10" width="24.5"/>
  </cols>
  <sheetData>
    <row r="1">
      <c r="A1" s="9" t="s">
        <v>165</v>
      </c>
      <c r="B1" s="9" t="s">
        <v>166</v>
      </c>
      <c r="C1" s="9" t="s">
        <v>167</v>
      </c>
      <c r="D1" s="9" t="s">
        <v>168</v>
      </c>
      <c r="E1" s="9" t="s">
        <v>169</v>
      </c>
      <c r="F1" s="9" t="s">
        <v>170</v>
      </c>
      <c r="G1" s="9" t="s">
        <v>171</v>
      </c>
      <c r="H1" s="9" t="s">
        <v>172</v>
      </c>
      <c r="I1" s="9" t="s">
        <v>173</v>
      </c>
      <c r="J1" s="9" t="s">
        <v>174</v>
      </c>
    </row>
    <row r="2">
      <c r="A2" s="10" t="s">
        <v>175</v>
      </c>
      <c r="B2" s="11" t="s">
        <v>176</v>
      </c>
      <c r="C2" s="11" t="s">
        <v>177</v>
      </c>
      <c r="D2" s="11">
        <v>58.0</v>
      </c>
      <c r="E2" s="10" t="s">
        <v>178</v>
      </c>
      <c r="F2" s="10" t="s">
        <v>179</v>
      </c>
      <c r="G2" s="10" t="s">
        <v>179</v>
      </c>
      <c r="H2" s="12" t="s">
        <v>180</v>
      </c>
      <c r="I2" s="13" t="s">
        <v>181</v>
      </c>
      <c r="J2" s="10" t="s">
        <v>182</v>
      </c>
    </row>
    <row r="3">
      <c r="A3" s="10" t="s">
        <v>183</v>
      </c>
      <c r="B3" s="11" t="s">
        <v>184</v>
      </c>
      <c r="C3" s="11" t="s">
        <v>185</v>
      </c>
      <c r="D3" s="11">
        <v>57.0</v>
      </c>
      <c r="E3" s="10" t="s">
        <v>178</v>
      </c>
      <c r="F3" s="10" t="s">
        <v>186</v>
      </c>
      <c r="G3" s="10" t="s">
        <v>186</v>
      </c>
      <c r="H3" s="12" t="s">
        <v>187</v>
      </c>
      <c r="I3" s="10"/>
      <c r="J3" s="10" t="s">
        <v>188</v>
      </c>
    </row>
    <row r="4">
      <c r="A4" s="10" t="s">
        <v>189</v>
      </c>
      <c r="B4" s="11" t="s">
        <v>190</v>
      </c>
      <c r="C4" s="11" t="s">
        <v>177</v>
      </c>
      <c r="D4" s="11">
        <v>54.0</v>
      </c>
      <c r="E4" s="10" t="s">
        <v>191</v>
      </c>
      <c r="F4" s="10" t="s">
        <v>192</v>
      </c>
      <c r="G4" s="10" t="s">
        <v>193</v>
      </c>
      <c r="H4" s="10" t="s">
        <v>194</v>
      </c>
      <c r="I4" s="10"/>
      <c r="J4" s="14" t="s">
        <v>195</v>
      </c>
    </row>
    <row r="5">
      <c r="A5" s="10" t="s">
        <v>196</v>
      </c>
      <c r="B5" s="11" t="s">
        <v>197</v>
      </c>
      <c r="C5" s="11" t="s">
        <v>177</v>
      </c>
      <c r="D5" s="11">
        <v>55.0</v>
      </c>
      <c r="E5" s="10" t="s">
        <v>191</v>
      </c>
      <c r="F5" s="10" t="s">
        <v>198</v>
      </c>
      <c r="G5" s="10" t="s">
        <v>199</v>
      </c>
      <c r="H5" s="15" t="s">
        <v>200</v>
      </c>
      <c r="I5" s="10"/>
      <c r="J5" s="10" t="s">
        <v>201</v>
      </c>
    </row>
    <row r="6">
      <c r="A6" s="10" t="s">
        <v>202</v>
      </c>
      <c r="B6" s="11" t="s">
        <v>203</v>
      </c>
      <c r="C6" s="11" t="s">
        <v>185</v>
      </c>
      <c r="D6" s="11">
        <v>54.0</v>
      </c>
      <c r="E6" s="10" t="s">
        <v>191</v>
      </c>
      <c r="F6" s="10" t="s">
        <v>204</v>
      </c>
      <c r="G6" s="10" t="s">
        <v>205</v>
      </c>
      <c r="H6" s="15" t="s">
        <v>200</v>
      </c>
      <c r="I6" s="10"/>
      <c r="J6" s="10" t="s">
        <v>206</v>
      </c>
    </row>
    <row r="7">
      <c r="A7" s="10" t="s">
        <v>207</v>
      </c>
      <c r="B7" s="11" t="s">
        <v>208</v>
      </c>
      <c r="C7" s="11" t="s">
        <v>177</v>
      </c>
      <c r="D7" s="11">
        <v>51.0</v>
      </c>
      <c r="E7" s="10" t="s">
        <v>191</v>
      </c>
      <c r="F7" s="10" t="s">
        <v>209</v>
      </c>
      <c r="G7" s="16" t="s">
        <v>210</v>
      </c>
      <c r="H7" s="15" t="s">
        <v>200</v>
      </c>
      <c r="I7" s="10"/>
      <c r="J7" s="14" t="s">
        <v>211</v>
      </c>
    </row>
    <row r="8">
      <c r="A8" s="10" t="s">
        <v>212</v>
      </c>
      <c r="B8" s="11" t="s">
        <v>213</v>
      </c>
      <c r="C8" s="11" t="s">
        <v>185</v>
      </c>
      <c r="D8" s="11">
        <v>48.0</v>
      </c>
      <c r="E8" s="10" t="s">
        <v>191</v>
      </c>
      <c r="F8" s="10" t="s">
        <v>209</v>
      </c>
      <c r="G8" s="10" t="s">
        <v>214</v>
      </c>
      <c r="H8" s="15" t="s">
        <v>200</v>
      </c>
      <c r="I8" s="10"/>
      <c r="J8" s="14" t="s">
        <v>215</v>
      </c>
    </row>
    <row r="9">
      <c r="A9" s="10" t="s">
        <v>216</v>
      </c>
      <c r="B9" s="11" t="s">
        <v>217</v>
      </c>
      <c r="C9" s="11" t="s">
        <v>177</v>
      </c>
      <c r="D9" s="11">
        <v>54.0</v>
      </c>
      <c r="E9" s="10" t="s">
        <v>218</v>
      </c>
      <c r="F9" s="10" t="s">
        <v>219</v>
      </c>
      <c r="G9" s="10" t="s">
        <v>220</v>
      </c>
      <c r="H9" s="10" t="s">
        <v>221</v>
      </c>
      <c r="I9" s="10"/>
      <c r="J9" s="14" t="s">
        <v>222</v>
      </c>
    </row>
    <row r="10">
      <c r="A10" s="10" t="s">
        <v>223</v>
      </c>
      <c r="B10" s="11" t="s">
        <v>224</v>
      </c>
      <c r="C10" s="11" t="s">
        <v>185</v>
      </c>
      <c r="D10" s="11">
        <v>54.0</v>
      </c>
      <c r="E10" s="10" t="s">
        <v>191</v>
      </c>
      <c r="F10" s="10" t="s">
        <v>209</v>
      </c>
      <c r="G10" s="10" t="s">
        <v>214</v>
      </c>
      <c r="H10" s="15" t="s">
        <v>200</v>
      </c>
      <c r="I10" s="10"/>
      <c r="J10" s="10" t="s">
        <v>225</v>
      </c>
    </row>
    <row r="11">
      <c r="A11" s="10" t="s">
        <v>226</v>
      </c>
      <c r="B11" s="11" t="s">
        <v>227</v>
      </c>
      <c r="C11" s="11" t="s">
        <v>177</v>
      </c>
      <c r="D11" s="11">
        <v>49.0</v>
      </c>
      <c r="E11" s="10" t="s">
        <v>191</v>
      </c>
      <c r="F11" s="10" t="s">
        <v>228</v>
      </c>
      <c r="G11" s="10" t="s">
        <v>229</v>
      </c>
      <c r="H11" s="15" t="s">
        <v>200</v>
      </c>
      <c r="I11" s="10"/>
      <c r="J11" s="10" t="s">
        <v>230</v>
      </c>
    </row>
    <row r="12">
      <c r="A12" s="10" t="s">
        <v>231</v>
      </c>
      <c r="B12" s="11" t="s">
        <v>232</v>
      </c>
      <c r="C12" s="11" t="s">
        <v>185</v>
      </c>
      <c r="D12" s="11">
        <v>49.0</v>
      </c>
      <c r="E12" s="10" t="s">
        <v>191</v>
      </c>
      <c r="F12" s="10" t="s">
        <v>233</v>
      </c>
      <c r="G12" s="10" t="s">
        <v>205</v>
      </c>
      <c r="H12" s="15" t="s">
        <v>200</v>
      </c>
      <c r="I12" s="10"/>
      <c r="J12" s="10" t="s">
        <v>234</v>
      </c>
    </row>
    <row r="13">
      <c r="A13" s="10" t="s">
        <v>235</v>
      </c>
      <c r="B13" s="11" t="s">
        <v>236</v>
      </c>
      <c r="C13" s="11" t="s">
        <v>177</v>
      </c>
      <c r="D13" s="11">
        <v>26.0</v>
      </c>
      <c r="E13" s="10" t="s">
        <v>178</v>
      </c>
      <c r="F13" s="10" t="s">
        <v>237</v>
      </c>
      <c r="G13" s="10" t="s">
        <v>238</v>
      </c>
      <c r="H13" s="15" t="s">
        <v>200</v>
      </c>
      <c r="I13" s="10"/>
      <c r="J13" s="10" t="s">
        <v>239</v>
      </c>
    </row>
    <row r="14">
      <c r="A14" s="10" t="s">
        <v>240</v>
      </c>
      <c r="B14" s="11" t="s">
        <v>241</v>
      </c>
      <c r="C14" s="11" t="s">
        <v>185</v>
      </c>
      <c r="D14" s="11">
        <v>59.0</v>
      </c>
      <c r="E14" s="10" t="s">
        <v>191</v>
      </c>
      <c r="F14" s="10" t="s">
        <v>242</v>
      </c>
      <c r="G14" s="10" t="s">
        <v>205</v>
      </c>
      <c r="H14" s="15" t="s">
        <v>200</v>
      </c>
      <c r="I14" s="10"/>
      <c r="J14" s="14" t="s">
        <v>243</v>
      </c>
    </row>
  </sheetData>
  <hyperlinks>
    <hyperlink r:id="rId1" ref="J4"/>
    <hyperlink r:id="rId2" ref="J7"/>
    <hyperlink r:id="rId3" ref="J8"/>
    <hyperlink r:id="rId4" ref="J9"/>
    <hyperlink r:id="rId5" ref="J14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2.88"/>
  </cols>
  <sheetData>
    <row r="1">
      <c r="A1" s="17" t="s">
        <v>244</v>
      </c>
    </row>
    <row r="2">
      <c r="A2" s="18" t="s">
        <v>245</v>
      </c>
    </row>
    <row r="3">
      <c r="A3" s="18"/>
    </row>
    <row r="4">
      <c r="A4" s="18" t="s">
        <v>246</v>
      </c>
    </row>
    <row r="5">
      <c r="A5" s="18"/>
    </row>
    <row r="6">
      <c r="A6" s="18" t="s">
        <v>247</v>
      </c>
    </row>
    <row r="7">
      <c r="A7" s="18"/>
    </row>
    <row r="8">
      <c r="A8" s="18" t="s">
        <v>248</v>
      </c>
    </row>
    <row r="9">
      <c r="A9" s="18"/>
    </row>
    <row r="10">
      <c r="A10" s="18" t="s">
        <v>249</v>
      </c>
    </row>
    <row r="11">
      <c r="A11" s="18"/>
    </row>
    <row r="12">
      <c r="A12" s="18" t="s">
        <v>250</v>
      </c>
    </row>
    <row r="13">
      <c r="A13" s="18"/>
    </row>
    <row r="14">
      <c r="A14" s="18" t="s">
        <v>251</v>
      </c>
    </row>
    <row r="15">
      <c r="A15" s="18"/>
    </row>
    <row r="16">
      <c r="A16" s="18" t="s">
        <v>252</v>
      </c>
    </row>
  </sheetData>
  <drawing r:id="rId1"/>
</worksheet>
</file>